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dadsergioarboleda-my.sharepoint.com/personal/camilo_millan01_usa_edu_co/Documents/Escritorio/CodingProyects/Proyecto-FinanceBro/"/>
    </mc:Choice>
  </mc:AlternateContent>
  <xr:revisionPtr revIDLastSave="2" documentId="11_B13CA866D7C5B1645BD4818EF83774B157942A2A" xr6:coauthVersionLast="47" xr6:coauthVersionMax="47" xr10:uidLastSave="{64907564-8AF7-4759-BD65-2335967B0319}"/>
  <bookViews>
    <workbookView xWindow="-110" yWindow="-110" windowWidth="19420" windowHeight="11500" xr2:uid="{00000000-000D-0000-FFFF-FFFF00000000}"/>
  </bookViews>
  <sheets>
    <sheet name="Resumen" sheetId="1" r:id="rId1"/>
    <sheet name="AWS EC2 unico" sheetId="2" r:id="rId2"/>
    <sheet name="Hostinger VPS" sheetId="3" r:id="rId3"/>
    <sheet name="AWS Escalado" sheetId="4" r:id="rId4"/>
    <sheet name="Supuestos y No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  <c r="E21" i="4" s="1"/>
  <c r="E23" i="3"/>
  <c r="E24" i="3" s="1"/>
  <c r="E25" i="2"/>
  <c r="E26" i="2" s="1"/>
  <c r="C16" i="1"/>
  <c r="C18" i="1" s="1"/>
  <c r="B16" i="1"/>
  <c r="B18" i="1" s="1"/>
  <c r="B17" i="1" l="1"/>
  <c r="C17" i="1"/>
</calcChain>
</file>

<file path=xl/sharedStrings.xml><?xml version="1.0" encoding="utf-8"?>
<sst xmlns="http://schemas.openxmlformats.org/spreadsheetml/2006/main" count="220" uniqueCount="185">
  <si>
    <t>FinanceBro — Costos Mensuales de Despliegue</t>
  </si>
  <si>
    <t>Comparativo AWS vs Hostinger · Conversión usada: 1 USD = 4,000 COP · Cifras en USD/mes salvo indicación</t>
  </si>
  <si>
    <t>Escenarios comparados</t>
  </si>
  <si>
    <t>Categoría</t>
  </si>
  <si>
    <t>AWS (USD/mes)</t>
  </si>
  <si>
    <t>Hostinger (USD/mes)</t>
  </si>
  <si>
    <t>Comentario</t>
  </si>
  <si>
    <t>Cómputo / Servidor</t>
  </si>
  <si>
    <t>AWS: EC2 t3.large on-demand. Hostinger: VPS KVM 4 (renovación).</t>
  </si>
  <si>
    <t>Almacenamiento / Disco</t>
  </si>
  <si>
    <t>AWS: EBS 50GB gp3 + snapshots. Hostinger: incluido en VPS.</t>
  </si>
  <si>
    <t>IP pública / Red</t>
  </si>
  <si>
    <t>AWS cobra IPv4 pública. Hostinger incluye IP.</t>
  </si>
  <si>
    <t>Transferencia de datos</t>
  </si>
  <si>
    <t>AWS: salida ~50GB. Hostinger: ancho de banda incluido.</t>
  </si>
  <si>
    <t>DNS gestionado</t>
  </si>
  <si>
    <t>AWS: Route 53. Hostinger: DNS incluido con dominio.</t>
  </si>
  <si>
    <t>Backups</t>
  </si>
  <si>
    <t>AWS: snapshots EBS. Hostinger: backups diarios add-on.</t>
  </si>
  <si>
    <t>Dominio (.com)</t>
  </si>
  <si>
    <t>Prorrateo mensual de costo anual.</t>
  </si>
  <si>
    <t>n8n (automatización)</t>
  </si>
  <si>
    <t>Auto-hospedado en el mismo servidor (Community = $0).</t>
  </si>
  <si>
    <t>APIs externas (scraping/IA)</t>
  </si>
  <si>
    <t>ScraperAPI + OpenAI + Gemini. Igual en ambos escenarios.</t>
  </si>
  <si>
    <t>SSL / Certificados</t>
  </si>
  <si>
    <t>Let's Encrypt / Cloudflare gratis.</t>
  </si>
  <si>
    <t>TOTAL ESTIMADO MENSUAL</t>
  </si>
  <si>
    <t>Suma de categorías (USD/mes)</t>
  </si>
  <si>
    <t>TOTAL MENSUAL (COP aprox.)</t>
  </si>
  <si>
    <t>Tasa supuesta 1 USD = 4,000 COP</t>
  </si>
  <si>
    <t>TOTAL ANUAL (USD)</t>
  </si>
  <si>
    <t>Proyección 12 meses (sin descuentos por reserva)</t>
  </si>
  <si>
    <t>Recomendación</t>
  </si>
  <si>
    <t>• Hostinger VPS (KVM 4) es la opción más económica para esta etapa (Beta/MVP): ~3-4x más barato que AWS EC2 a igual RAM, ejecutando toda la stack con docker-compose.prod.yml. Ideal mientras el tráfico sea bajo.
• AWS conviene cuando se necesite escalar, alta disponibilidad o servicios gestionados (RDS/ElastiCache/ECS) — ver hoja 'AWS Escalado'.
• El costo dominante en ambos casos NO es la infraestructura, sino las APIs externas de scraping/IA (ScraperAPI + OpenAI). Optimizar esos workflows es donde más se ahorra.</t>
  </si>
  <si>
    <t>Opción A — AWS (1 instancia EC2 con Docker)</t>
  </si>
  <si>
    <t>Toda la stack en un solo EC2 vía docker-compose.prod.yml. Coincide con AWS_EC2_DEPLOYMENT.md.</t>
  </si>
  <si>
    <t>Ítem / Servicio</t>
  </si>
  <si>
    <t>Especificación</t>
  </si>
  <si>
    <t>Precio unitario</t>
  </si>
  <si>
    <t>Cant.</t>
  </si>
  <si>
    <t>USD/mes</t>
  </si>
  <si>
    <t>Notas</t>
  </si>
  <si>
    <t>Cómputo</t>
  </si>
  <si>
    <t>EC2 t3.large</t>
  </si>
  <si>
    <t>2 vCPU / 8 GB RAM — On-Demand us-east-1</t>
  </si>
  <si>
    <t>Corre toda la stack en Docker (2 APIs NestJS + web + playwright + n8n + Postgres + Redis). 8GB recomendado por Chromium/Playwright + n8n.</t>
  </si>
  <si>
    <t>Almacenamiento</t>
  </si>
  <si>
    <t>EBS gp3 50 GB</t>
  </si>
  <si>
    <t>Disco raíz SSD</t>
  </si>
  <si>
    <t>$0.08/GB-mes. 50GB cubre imágenes Docker + BD inicial.</t>
  </si>
  <si>
    <t>Snapshots EBS</t>
  </si>
  <si>
    <t>Backups incrementales ~25GB</t>
  </si>
  <si>
    <t>$0.05/GB-mes.</t>
  </si>
  <si>
    <t>Red</t>
  </si>
  <si>
    <t>IP pública IPv4</t>
  </si>
  <si>
    <t>1 Elastic IP en uso</t>
  </si>
  <si>
    <t>AWS cobra todas las IPv4 públicas desde 2024.</t>
  </si>
  <si>
    <t>Transferencia salida</t>
  </si>
  <si>
    <t>~50 GB/mes egress</t>
  </si>
  <si>
    <t>Primeros 100GB tienen capa gratuita parcial; estimado conservador.</t>
  </si>
  <si>
    <t>Route 53</t>
  </si>
  <si>
    <t>Hosted zone + consultas DNS</t>
  </si>
  <si>
    <t>$0.50/zona + ~$0.40 por consultas de tráfico bajo.</t>
  </si>
  <si>
    <t>Dominio</t>
  </si>
  <si>
    <t>.com (Route53/Registrar)</t>
  </si>
  <si>
    <t>Registro anual prorrateado</t>
  </si>
  <si>
    <t>$15/año ÷ 12. Puede usarse Namecheap/GoDaddy.</t>
  </si>
  <si>
    <t>Automatización y APIs (operación)</t>
  </si>
  <si>
    <t>n8n auto-hospedado</t>
  </si>
  <si>
    <t>Community Edition en Docker</t>
  </si>
  <si>
    <t>Sin costo de licencia; consume recursos del EC2 (ya incluido en cómputo).</t>
  </si>
  <si>
    <t>ScraperAPI</t>
  </si>
  <si>
    <t>Plan Hobby (~100k req/mes)</t>
  </si>
  <si>
    <t>Scraping diario de ~50 bancos. Free tier (1k) puede bastar en pruebas → $0.</t>
  </si>
  <si>
    <t>OpenAI GPT-4.1</t>
  </si>
  <si>
    <t>Extracción estructurada en scraping</t>
  </si>
  <si>
    <t>Variable según volumen diario; estimado bajo-medio.</t>
  </si>
  <si>
    <t>Gemini 2.5 Flash</t>
  </si>
  <si>
    <t>Detección de URLs PDF / parsing</t>
  </si>
  <si>
    <t>Muy económico; free tier puede cubrirlo → $0.</t>
  </si>
  <si>
    <t>Google Sheets API</t>
  </si>
  <si>
    <t>Respaldo secundario</t>
  </si>
  <si>
    <t>Gratis.</t>
  </si>
  <si>
    <t>Seguridad / Otros</t>
  </si>
  <si>
    <t>SSL (Let's Encrypt)</t>
  </si>
  <si>
    <t>Certificados TLS auto-renovables</t>
  </si>
  <si>
    <t>Gratis vía Certbot/Nginx o Cloudflare.</t>
  </si>
  <si>
    <t>CloudWatch básico</t>
  </si>
  <si>
    <t>Métricas y logs mínimos</t>
  </si>
  <si>
    <t>Capa gratuita suele bastar para 1 instancia.</t>
  </si>
  <si>
    <t>TOTAL</t>
  </si>
  <si>
    <t>On-Demand. Con Savings Plan/Reserved 1 año el cómputo baja ~35-40%.</t>
  </si>
  <si>
    <t>TOTAL (COP aprox.)</t>
  </si>
  <si>
    <t>1 USD = 4,000 COP</t>
  </si>
  <si>
    <t>Opción B — Hostinger (VPS KVM con Docker)</t>
  </si>
  <si>
    <t>Toda la stack en un VPS administrado por ti, con el mismo docker-compose.prod.yml.</t>
  </si>
  <si>
    <t>VPS KVM 4</t>
  </si>
  <si>
    <t>4 vCPU / 16 GB RAM / 200 GB NVMe</t>
  </si>
  <si>
    <t>Precio de renovación (mensual prorrateado del plan 24m). Promo 1er periodo ~$6-8/mes. Holgado para toda la stack.</t>
  </si>
  <si>
    <t>Almacenamiento / Backups</t>
  </si>
  <si>
    <t>Disco NVMe</t>
  </si>
  <si>
    <t>200 GB incluidos</t>
  </si>
  <si>
    <t>Incluido en el VPS.</t>
  </si>
  <si>
    <t>Backups automáticos</t>
  </si>
  <si>
    <t>Snapshots diarios (add-on)</t>
  </si>
  <si>
    <t>Backups semanales son gratis; diarios ~$1-2/mes.</t>
  </si>
  <si>
    <t>Red / DNS</t>
  </si>
  <si>
    <t>Ancho de banda</t>
  </si>
  <si>
    <t>Tráfico mensual incluido</t>
  </si>
  <si>
    <t>Hostinger incluye bandwidth generoso.</t>
  </si>
  <si>
    <t>IP pública + DNS</t>
  </si>
  <si>
    <t>IPv4 dedicada + zona DNS</t>
  </si>
  <si>
    <t>Incluidos con el VPS/dominio.</t>
  </si>
  <si>
    <t>.com (Hostinger)</t>
  </si>
  <si>
    <t>$12/año ÷ 12. Suele ser gratis el 1er año con plan anual.</t>
  </si>
  <si>
    <t>Sin licencia; corre en el mismo VPS.</t>
  </si>
  <si>
    <t>Igual que en AWS — costo de operación, no de hosting.</t>
  </si>
  <si>
    <t>Extracción estructurada</t>
  </si>
  <si>
    <t>Variable según volumen.</t>
  </si>
  <si>
    <t>Detección de URLs PDF</t>
  </si>
  <si>
    <t>Muy económico / free tier.</t>
  </si>
  <si>
    <t>TLS auto-renovable</t>
  </si>
  <si>
    <t>Gratis. Hostinger también ofrece SSL incluido.</t>
  </si>
  <si>
    <t>Renovación. El primer periodo (promo) reduce el cómputo a ~$6-8/mes.</t>
  </si>
  <si>
    <t>Opción A+ — AWS con servicios gestionados</t>
  </si>
  <si>
    <t>Alta disponibilidad y escalado (ECS/RDS/ElastiCache/ALB). Para etapa de producción con tráfico real.</t>
  </si>
  <si>
    <t>Cómputo (contenedores gestionados)</t>
  </si>
  <si>
    <t>ECS Fargate (APIs+web)</t>
  </si>
  <si>
    <t>~1 vCPU / 2GB equivalente, 2 tareas</t>
  </si>
  <si>
    <t>Para 2 APIs NestJS + frontend servido. Escala por demanda.</t>
  </si>
  <si>
    <t>EC2 t3.medium (n8n+playwright)</t>
  </si>
  <si>
    <t>Servicios pesados/persistentes</t>
  </si>
  <si>
    <t>Playwright + n8n conviene fuera de Fargate por Chromium.</t>
  </si>
  <si>
    <t>Bases de datos gestionadas</t>
  </si>
  <si>
    <t>RDS PostgreSQL db.t3.micro</t>
  </si>
  <si>
    <t>2 vCPU burst / 1GB, 20GB</t>
  </si>
  <si>
    <t>Postgres gestionado con backups automáticos.</t>
  </si>
  <si>
    <t>RDS almacenamiento</t>
  </si>
  <si>
    <t>20 GB gp3</t>
  </si>
  <si>
    <t>$0.115/GB-mes.</t>
  </si>
  <si>
    <t>ElastiCache Redis t3.micro</t>
  </si>
  <si>
    <t>Caché gestionada</t>
  </si>
  <si>
    <t>Reemplaza Redis en Docker.</t>
  </si>
  <si>
    <t>Red / Balanceo / DNS</t>
  </si>
  <si>
    <t>Application Load Balancer</t>
  </si>
  <si>
    <t>ALB + LCU</t>
  </si>
  <si>
    <t>~$16 base + ~$6 LCU tráfico bajo.</t>
  </si>
  <si>
    <t>NAT Gateway</t>
  </si>
  <si>
    <t>Salida desde subredes privadas</t>
  </si>
  <si>
    <t>Costo fijo notable; evitable con arquitectura pública.</t>
  </si>
  <si>
    <t>Hosted zone + consultas.</t>
  </si>
  <si>
    <t>Transferencia datos</t>
  </si>
  <si>
    <t>Egress ~80GB</t>
  </si>
  <si>
    <t>Estimado tráfico medio.</t>
  </si>
  <si>
    <t>APIs externas (igual que opción A/B)</t>
  </si>
  <si>
    <t>ScraperAPI + OpenAI + Gemini</t>
  </si>
  <si>
    <t>Operación de scraping/IA</t>
  </si>
  <si>
    <t>Mismo costo de operación.</t>
  </si>
  <si>
    <t>Dominio .com</t>
  </si>
  <si>
    <t>Prorrateo anual</t>
  </si>
  <si>
    <t>$15/año.</t>
  </si>
  <si>
    <t>Estimación. NAT Gateway y ALB son los mayores costos fijos; optimizables.</t>
  </si>
  <si>
    <t>Supuestos, Metodología y Notas</t>
  </si>
  <si>
    <t>Lee esto antes de tomar decisiones presupuestales</t>
  </si>
  <si>
    <t>• Stack desplegada (real, junio 2026)</t>
  </si>
  <si>
    <t>finance-bro-api (NestJS), finance-bro-users-api (NestJS, autenticación), finance-bro-web (React build estático), playwright-pdf-service (Node + Chromium, pesado en RAM), tunnel-proxy (Node), PostgreSQL 16, Redis 7, n8n (2 workflows), Nginx reverse proxy.</t>
  </si>
  <si>
    <t>• Tasa de cambio</t>
  </si>
  <si>
    <t>Se usó 1 USD = 4,000 COP como supuesto. Ajusta la celda en cada hoja si la TRM cambia (rango típico 2026: 3.900-4.200).</t>
  </si>
  <si>
    <t>• Por qué 8GB+ de RAM</t>
  </si>
  <si>
    <t>Playwright/Chromium + n8n + 2 procesos NestJS + Postgres + Redis en una sola máquina necesitan holgura. Con 4GB hay riesgo de OOM al renderizar PDFs o correr scraping concurrente.</t>
  </si>
  <si>
    <t>• Cómputo: precios on-demand</t>
  </si>
  <si>
    <t>AWS EC2 mostrado a precio on-demand. Con Savings Plan o Reserved Instance a 1 año el cómputo baja ~35-40%. Hostinger se muestra a precio de RENOVACIÓN; el primer contrato (promo) es bastante más barato.</t>
  </si>
  <si>
    <t>• Costo dominante = APIs externas</t>
  </si>
  <si>
    <t>En todos los escenarios, ScraperAPI + OpenAI + Gemini pesan tanto o más que el servidor. ScraperAPI Hobby ($49) es el mayor; en fase de pruebas el free tier (1.000 req) puede bastar y dejarlo en $0. OpenAI/Gemini dependen del volumen diario de scraping.</t>
  </si>
  <si>
    <t>• n8n: Cloud vs auto-hospedado</t>
  </si>
  <si>
    <t>El CLAUDE.md indica n8n Cloud (~$20-24/mes plan Starter). En estas estimaciones se asume n8n AUTO-HOSPEDADO (Community Edition, $0 licencia) corriendo en el mismo servidor para minimizar costos. Si se prefiere n8n Cloud gestionado, sumar ~$20-24/mes.</t>
  </si>
  <si>
    <t>• Lo que NO está incluido</t>
  </si>
  <si>
    <t>Email transaccional (MS Notificaciones futuro: SES ~$0 hasta 62k/mes, o Resend free tier), monitoreo avanzado (Grafana/Prometheus self-hosted = $0), CDN (Cloudflare free), registro de imágenes Docker privado (Docker Hub free / ECR ~$0.10/GB), e impuestos locales (IVA 19% si aplica facturación CO).</t>
  </si>
  <si>
    <t>• Capa gratuita AWS</t>
  </si>
  <si>
    <t>Si la cuenta es nueva (&lt;12 meses), gran parte de EC2/RDS/transferencia puede caer en Free Tier el primer año, reduciendo el costo casi a solo dominio + APIs externas.</t>
  </si>
  <si>
    <t>• Recomendación por etapa</t>
  </si>
  <si>
    <t>MVP/Beta (ahora): Hostinger VPS KVM 4 — ~$20/mes infra + APIs. Crecimiento: AWS EC2 único con Reserved. Producción con tráfico/HA: AWS Escalado (ECS/RDS/ElastiCache).</t>
  </si>
  <si>
    <t>• Precios — fecha y validez</t>
  </si>
  <si>
    <t>Estimaciones a junio 2026 con tarifas públicas de referencia (us-east-1 para AWS). Verifica con las calculadoras oficiales antes de contratar: AWS Pricing Calculator y página de planes VPS de Hostinger.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</si>
</sst>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\ &quot;COP&quot;"/>
    <numFmt numFmtId="166" formatCode="#,##0\ &quot;COP&quot;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052659"/>
      <name val="Calibri"/>
    </font>
    <font>
      <b/>
      <sz val="11"/>
      <color rgb="FFFFFFFF"/>
      <name val="Calibri"/>
    </font>
    <font>
      <sz val="10"/>
      <color rgb="FF0D1B2A"/>
      <name val="Calibri"/>
    </font>
    <font>
      <i/>
      <sz val="9"/>
      <color rgb="FF555555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52659"/>
      </patternFill>
    </fill>
    <fill>
      <patternFill patternType="solid">
        <fgColor rgb="FFC2E8FF"/>
      </patternFill>
    </fill>
    <fill>
      <patternFill patternType="solid">
        <fgColor rgb="FF303AE4"/>
      </patternFill>
    </fill>
    <fill>
      <patternFill patternType="solid">
        <fgColor rgb="FFF2F4F8"/>
      </patternFill>
    </fill>
    <fill>
      <patternFill patternType="solid">
        <fgColor rgb="FFFBB34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/>
    <xf numFmtId="0" fontId="7" fillId="2" borderId="1" xfId="0" applyFont="1" applyFill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/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4" fillId="6" borderId="1" xfId="0" applyFont="1" applyFill="1" applyBorder="1"/>
    <xf numFmtId="0" fontId="0" fillId="6" borderId="1" xfId="0" applyFill="1" applyBorder="1"/>
    <xf numFmtId="0" fontId="7" fillId="2" borderId="1" xfId="0" applyFont="1" applyFill="1" applyBorder="1"/>
    <xf numFmtId="0" fontId="0" fillId="2" borderId="1" xfId="0" applyFill="1" applyBorder="1"/>
    <xf numFmtId="166" fontId="7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 wrapText="1"/>
    </xf>
    <xf numFmtId="164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2" fillId="2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workbookViewId="0">
      <selection activeCell="E14" sqref="E14"/>
    </sheetView>
  </sheetViews>
  <sheetFormatPr baseColWidth="10" defaultColWidth="8.7265625" defaultRowHeight="14.5" x14ac:dyDescent="0.35"/>
  <cols>
    <col min="1" max="1" width="30" customWidth="1"/>
    <col min="2" max="2" width="22" customWidth="1"/>
    <col min="3" max="3" width="24" customWidth="1"/>
    <col min="4" max="4" width="52" customWidth="1"/>
  </cols>
  <sheetData>
    <row r="1" spans="1:5" ht="30" customHeight="1" x14ac:dyDescent="0.35">
      <c r="A1" s="38" t="s">
        <v>0</v>
      </c>
      <c r="B1" s="37"/>
      <c r="C1" s="37"/>
      <c r="D1" s="37"/>
      <c r="E1" s="37"/>
    </row>
    <row r="2" spans="1:5" ht="18" customHeight="1" x14ac:dyDescent="0.35">
      <c r="A2" s="36" t="s">
        <v>1</v>
      </c>
      <c r="B2" s="37"/>
      <c r="C2" s="37"/>
      <c r="D2" s="37"/>
      <c r="E2" s="37"/>
    </row>
    <row r="4" spans="1:5" x14ac:dyDescent="0.35">
      <c r="A4" s="1" t="s">
        <v>2</v>
      </c>
      <c r="B4" s="2"/>
      <c r="C4" s="2"/>
      <c r="D4" s="2"/>
      <c r="E4" s="2"/>
    </row>
    <row r="5" spans="1:5" ht="22" customHeight="1" x14ac:dyDescent="0.35">
      <c r="A5" s="3" t="s">
        <v>3</v>
      </c>
      <c r="B5" s="3" t="s">
        <v>4</v>
      </c>
      <c r="C5" s="3" t="s">
        <v>5</v>
      </c>
      <c r="D5" s="3" t="s">
        <v>6</v>
      </c>
    </row>
    <row r="6" spans="1:5" x14ac:dyDescent="0.35">
      <c r="A6" s="4" t="s">
        <v>7</v>
      </c>
      <c r="B6" s="5">
        <v>61</v>
      </c>
      <c r="C6" s="5">
        <v>18</v>
      </c>
      <c r="D6" s="6" t="s">
        <v>8</v>
      </c>
    </row>
    <row r="7" spans="1:5" x14ac:dyDescent="0.35">
      <c r="A7" s="7" t="s">
        <v>9</v>
      </c>
      <c r="B7" s="8">
        <v>6</v>
      </c>
      <c r="C7" s="8">
        <v>0</v>
      </c>
      <c r="D7" s="9" t="s">
        <v>10</v>
      </c>
    </row>
    <row r="8" spans="1:5" x14ac:dyDescent="0.35">
      <c r="A8" s="4" t="s">
        <v>11</v>
      </c>
      <c r="B8" s="5">
        <v>3.6</v>
      </c>
      <c r="C8" s="5">
        <v>0</v>
      </c>
      <c r="D8" s="6" t="s">
        <v>12</v>
      </c>
    </row>
    <row r="9" spans="1:5" x14ac:dyDescent="0.35">
      <c r="A9" s="7" t="s">
        <v>13</v>
      </c>
      <c r="B9" s="8">
        <v>5</v>
      </c>
      <c r="C9" s="8">
        <v>0</v>
      </c>
      <c r="D9" s="9" t="s">
        <v>14</v>
      </c>
    </row>
    <row r="10" spans="1:5" x14ac:dyDescent="0.35">
      <c r="A10" s="4" t="s">
        <v>15</v>
      </c>
      <c r="B10" s="5">
        <v>1</v>
      </c>
      <c r="C10" s="5">
        <v>0</v>
      </c>
      <c r="D10" s="6" t="s">
        <v>16</v>
      </c>
    </row>
    <row r="11" spans="1:5" x14ac:dyDescent="0.35">
      <c r="A11" s="7" t="s">
        <v>17</v>
      </c>
      <c r="B11" s="8">
        <v>2</v>
      </c>
      <c r="C11" s="8">
        <v>1.2</v>
      </c>
      <c r="D11" s="9" t="s">
        <v>18</v>
      </c>
    </row>
    <row r="12" spans="1:5" x14ac:dyDescent="0.35">
      <c r="A12" s="4" t="s">
        <v>19</v>
      </c>
      <c r="B12" s="5">
        <v>1.25</v>
      </c>
      <c r="C12" s="5">
        <v>1</v>
      </c>
      <c r="D12" s="6" t="s">
        <v>20</v>
      </c>
    </row>
    <row r="13" spans="1:5" x14ac:dyDescent="0.35">
      <c r="A13" s="7" t="s">
        <v>21</v>
      </c>
      <c r="B13" s="8">
        <v>0</v>
      </c>
      <c r="C13" s="8">
        <v>0</v>
      </c>
      <c r="D13" s="9" t="s">
        <v>22</v>
      </c>
    </row>
    <row r="14" spans="1:5" x14ac:dyDescent="0.35">
      <c r="A14" s="29" t="s">
        <v>23</v>
      </c>
      <c r="B14" s="31">
        <v>40</v>
      </c>
      <c r="C14" s="31">
        <v>40</v>
      </c>
      <c r="D14" s="33" t="s">
        <v>24</v>
      </c>
    </row>
    <row r="15" spans="1:5" x14ac:dyDescent="0.35">
      <c r="A15" s="7" t="s">
        <v>25</v>
      </c>
      <c r="B15" s="8">
        <v>0</v>
      </c>
      <c r="C15" s="8">
        <v>0</v>
      </c>
      <c r="D15" s="9" t="s">
        <v>26</v>
      </c>
    </row>
    <row r="16" spans="1:5" x14ac:dyDescent="0.35">
      <c r="A16" s="10" t="s">
        <v>27</v>
      </c>
      <c r="B16" s="11">
        <f>SUM(B6:B15)</f>
        <v>119.85</v>
      </c>
      <c r="C16" s="11">
        <f>SUM(C6:C15)</f>
        <v>60.2</v>
      </c>
      <c r="D16" s="12" t="s">
        <v>28</v>
      </c>
    </row>
    <row r="17" spans="1:4" x14ac:dyDescent="0.35">
      <c r="A17" s="13" t="s">
        <v>29</v>
      </c>
      <c r="B17" s="14">
        <f>B16*4000</f>
        <v>479400</v>
      </c>
      <c r="C17" s="14">
        <f>C16*4000</f>
        <v>240800</v>
      </c>
      <c r="D17" s="15" t="s">
        <v>30</v>
      </c>
    </row>
    <row r="18" spans="1:4" x14ac:dyDescent="0.35">
      <c r="A18" s="16" t="s">
        <v>31</v>
      </c>
      <c r="B18" s="17">
        <f>B16*12</f>
        <v>1438.1999999999998</v>
      </c>
      <c r="C18" s="17">
        <f>C16*12</f>
        <v>722.40000000000009</v>
      </c>
      <c r="D18" s="18" t="s">
        <v>32</v>
      </c>
    </row>
    <row r="20" spans="1:4" x14ac:dyDescent="0.35">
      <c r="A20" s="19" t="s">
        <v>33</v>
      </c>
    </row>
    <row r="21" spans="1:4" x14ac:dyDescent="0.35">
      <c r="A21" s="39" t="s">
        <v>34</v>
      </c>
      <c r="B21" s="37"/>
      <c r="C21" s="37"/>
      <c r="D21" s="37"/>
    </row>
    <row r="22" spans="1:4" x14ac:dyDescent="0.35">
      <c r="A22" s="37"/>
      <c r="B22" s="37"/>
      <c r="C22" s="37"/>
      <c r="D22" s="37"/>
    </row>
    <row r="23" spans="1:4" x14ac:dyDescent="0.35">
      <c r="A23" s="37"/>
      <c r="B23" s="37"/>
      <c r="C23" s="37"/>
      <c r="D23" s="37"/>
    </row>
    <row r="24" spans="1:4" x14ac:dyDescent="0.35">
      <c r="A24" s="37"/>
      <c r="B24" s="37"/>
      <c r="C24" s="37"/>
      <c r="D24" s="37"/>
    </row>
  </sheetData>
  <mergeCells count="3">
    <mergeCell ref="A2:E2"/>
    <mergeCell ref="A1:E1"/>
    <mergeCell ref="A21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workbookViewId="0">
      <selection activeCell="B13" sqref="B13"/>
    </sheetView>
  </sheetViews>
  <sheetFormatPr baseColWidth="10" defaultColWidth="8.7265625" defaultRowHeight="14.5" x14ac:dyDescent="0.35"/>
  <cols>
    <col min="1" max="1" width="28" customWidth="1"/>
    <col min="2" max="2" width="34" customWidth="1"/>
    <col min="3" max="3" width="14" customWidth="1"/>
    <col min="4" max="4" width="7" customWidth="1"/>
    <col min="5" max="5" width="12" customWidth="1"/>
    <col min="6" max="6" width="40" customWidth="1"/>
  </cols>
  <sheetData>
    <row r="1" spans="1:6" ht="30" customHeight="1" x14ac:dyDescent="0.35">
      <c r="A1" s="38" t="s">
        <v>35</v>
      </c>
      <c r="B1" s="37"/>
      <c r="C1" s="37"/>
      <c r="D1" s="37"/>
      <c r="E1" s="37"/>
      <c r="F1" s="37"/>
    </row>
    <row r="2" spans="1:6" ht="18" customHeight="1" x14ac:dyDescent="0.35">
      <c r="A2" s="36" t="s">
        <v>36</v>
      </c>
      <c r="B2" s="37"/>
      <c r="C2" s="37"/>
      <c r="D2" s="37"/>
      <c r="E2" s="37"/>
      <c r="F2" s="37"/>
    </row>
    <row r="4" spans="1:6" ht="22" customHeight="1" x14ac:dyDescent="0.3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</row>
    <row r="5" spans="1:6" x14ac:dyDescent="0.35">
      <c r="A5" s="34" t="s">
        <v>43</v>
      </c>
      <c r="B5" s="35"/>
      <c r="C5" s="35"/>
      <c r="D5" s="35"/>
      <c r="E5" s="35"/>
      <c r="F5" s="35"/>
    </row>
    <row r="6" spans="1:6" ht="36" x14ac:dyDescent="0.35">
      <c r="A6" s="4" t="s">
        <v>44</v>
      </c>
      <c r="B6" s="21" t="s">
        <v>45</v>
      </c>
      <c r="C6" s="5">
        <v>8.3199999999999996E-2</v>
      </c>
      <c r="D6" s="22">
        <v>730</v>
      </c>
      <c r="E6" s="5">
        <v>60.74</v>
      </c>
      <c r="F6" s="6" t="s">
        <v>46</v>
      </c>
    </row>
    <row r="7" spans="1:6" x14ac:dyDescent="0.35">
      <c r="A7" s="34" t="s">
        <v>47</v>
      </c>
      <c r="B7" s="35"/>
      <c r="C7" s="35"/>
      <c r="D7" s="35"/>
      <c r="E7" s="35"/>
      <c r="F7" s="35"/>
    </row>
    <row r="8" spans="1:6" x14ac:dyDescent="0.35">
      <c r="A8" s="4" t="s">
        <v>48</v>
      </c>
      <c r="B8" s="21" t="s">
        <v>49</v>
      </c>
      <c r="C8" s="5">
        <v>0.08</v>
      </c>
      <c r="D8" s="22">
        <v>50</v>
      </c>
      <c r="E8" s="5">
        <v>4</v>
      </c>
      <c r="F8" s="6" t="s">
        <v>50</v>
      </c>
    </row>
    <row r="9" spans="1:6" x14ac:dyDescent="0.35">
      <c r="A9" s="4" t="s">
        <v>51</v>
      </c>
      <c r="B9" s="21" t="s">
        <v>52</v>
      </c>
      <c r="C9" s="5">
        <v>0.05</v>
      </c>
      <c r="D9" s="22">
        <v>25</v>
      </c>
      <c r="E9" s="5">
        <v>1.25</v>
      </c>
      <c r="F9" s="6" t="s">
        <v>53</v>
      </c>
    </row>
    <row r="10" spans="1:6" x14ac:dyDescent="0.35">
      <c r="A10" s="34" t="s">
        <v>54</v>
      </c>
      <c r="B10" s="35"/>
      <c r="C10" s="35"/>
      <c r="D10" s="35"/>
      <c r="E10" s="35"/>
      <c r="F10" s="35"/>
    </row>
    <row r="11" spans="1:6" x14ac:dyDescent="0.35">
      <c r="A11" s="4" t="s">
        <v>55</v>
      </c>
      <c r="B11" s="21" t="s">
        <v>56</v>
      </c>
      <c r="C11" s="5">
        <v>5.0000000000000001E-3</v>
      </c>
      <c r="D11" s="22">
        <v>730</v>
      </c>
      <c r="E11" s="5">
        <v>3.65</v>
      </c>
      <c r="F11" s="6" t="s">
        <v>57</v>
      </c>
    </row>
    <row r="12" spans="1:6" ht="24" x14ac:dyDescent="0.35">
      <c r="A12" s="4" t="s">
        <v>58</v>
      </c>
      <c r="B12" s="21" t="s">
        <v>59</v>
      </c>
      <c r="C12" s="5">
        <v>0.09</v>
      </c>
      <c r="D12" s="22">
        <v>50</v>
      </c>
      <c r="E12" s="5">
        <v>4.5</v>
      </c>
      <c r="F12" s="6" t="s">
        <v>60</v>
      </c>
    </row>
    <row r="13" spans="1:6" x14ac:dyDescent="0.35">
      <c r="A13" s="4" t="s">
        <v>61</v>
      </c>
      <c r="B13" s="21" t="s">
        <v>62</v>
      </c>
      <c r="C13" s="5">
        <v>0.5</v>
      </c>
      <c r="D13" s="22">
        <v>2</v>
      </c>
      <c r="E13" s="5">
        <v>1</v>
      </c>
      <c r="F13" s="6" t="s">
        <v>63</v>
      </c>
    </row>
    <row r="14" spans="1:6" x14ac:dyDescent="0.35">
      <c r="A14" s="34" t="s">
        <v>64</v>
      </c>
      <c r="B14" s="35"/>
      <c r="C14" s="35"/>
      <c r="D14" s="35"/>
      <c r="E14" s="35"/>
      <c r="F14" s="35"/>
    </row>
    <row r="15" spans="1:6" x14ac:dyDescent="0.35">
      <c r="A15" s="4" t="s">
        <v>65</v>
      </c>
      <c r="B15" s="21" t="s">
        <v>66</v>
      </c>
      <c r="C15" s="5">
        <v>15</v>
      </c>
      <c r="D15" s="22">
        <v>8.3299999999999999E-2</v>
      </c>
      <c r="E15" s="5">
        <v>1.25</v>
      </c>
      <c r="F15" s="6" t="s">
        <v>67</v>
      </c>
    </row>
    <row r="16" spans="1:6" x14ac:dyDescent="0.35">
      <c r="A16" s="34" t="s">
        <v>68</v>
      </c>
      <c r="B16" s="35"/>
      <c r="C16" s="35"/>
      <c r="D16" s="35"/>
      <c r="E16" s="35"/>
      <c r="F16" s="35"/>
    </row>
    <row r="17" spans="1:6" ht="24" x14ac:dyDescent="0.35">
      <c r="A17" s="4" t="s">
        <v>69</v>
      </c>
      <c r="B17" s="21" t="s">
        <v>70</v>
      </c>
      <c r="C17" s="5">
        <v>0</v>
      </c>
      <c r="D17" s="22">
        <v>1</v>
      </c>
      <c r="E17" s="5">
        <v>0</v>
      </c>
      <c r="F17" s="6" t="s">
        <v>71</v>
      </c>
    </row>
    <row r="18" spans="1:6" ht="24" x14ac:dyDescent="0.35">
      <c r="A18" s="29" t="s">
        <v>72</v>
      </c>
      <c r="B18" s="30" t="s">
        <v>73</v>
      </c>
      <c r="C18" s="31">
        <v>49</v>
      </c>
      <c r="D18" s="32">
        <v>1</v>
      </c>
      <c r="E18" s="31">
        <v>49</v>
      </c>
      <c r="F18" s="33" t="s">
        <v>74</v>
      </c>
    </row>
    <row r="19" spans="1:6" x14ac:dyDescent="0.35">
      <c r="A19" s="4" t="s">
        <v>75</v>
      </c>
      <c r="B19" s="21" t="s">
        <v>76</v>
      </c>
      <c r="C19" s="5">
        <v>12</v>
      </c>
      <c r="D19" s="22">
        <v>1</v>
      </c>
      <c r="E19" s="5">
        <v>12</v>
      </c>
      <c r="F19" s="6" t="s">
        <v>77</v>
      </c>
    </row>
    <row r="20" spans="1:6" x14ac:dyDescent="0.35">
      <c r="A20" s="4" t="s">
        <v>78</v>
      </c>
      <c r="B20" s="21" t="s">
        <v>79</v>
      </c>
      <c r="C20" s="5">
        <v>3</v>
      </c>
      <c r="D20" s="22">
        <v>1</v>
      </c>
      <c r="E20" s="5">
        <v>3</v>
      </c>
      <c r="F20" s="6" t="s">
        <v>80</v>
      </c>
    </row>
    <row r="21" spans="1:6" x14ac:dyDescent="0.35">
      <c r="A21" s="4" t="s">
        <v>81</v>
      </c>
      <c r="B21" s="21" t="s">
        <v>82</v>
      </c>
      <c r="C21" s="5">
        <v>0</v>
      </c>
      <c r="D21" s="22">
        <v>1</v>
      </c>
      <c r="E21" s="5">
        <v>0</v>
      </c>
      <c r="F21" s="6" t="s">
        <v>83</v>
      </c>
    </row>
    <row r="22" spans="1:6" x14ac:dyDescent="0.35">
      <c r="A22" s="34" t="s">
        <v>84</v>
      </c>
      <c r="B22" s="35"/>
      <c r="C22" s="35"/>
      <c r="D22" s="35"/>
      <c r="E22" s="35"/>
      <c r="F22" s="35"/>
    </row>
    <row r="23" spans="1:6" x14ac:dyDescent="0.35">
      <c r="A23" s="4" t="s">
        <v>85</v>
      </c>
      <c r="B23" s="21" t="s">
        <v>86</v>
      </c>
      <c r="C23" s="5">
        <v>0</v>
      </c>
      <c r="D23" s="22">
        <v>1</v>
      </c>
      <c r="E23" s="5">
        <v>0</v>
      </c>
      <c r="F23" s="6" t="s">
        <v>87</v>
      </c>
    </row>
    <row r="24" spans="1:6" x14ac:dyDescent="0.35">
      <c r="A24" s="4" t="s">
        <v>88</v>
      </c>
      <c r="B24" s="21" t="s">
        <v>89</v>
      </c>
      <c r="C24" s="5">
        <v>0</v>
      </c>
      <c r="D24" s="22">
        <v>1</v>
      </c>
      <c r="E24" s="5">
        <v>0</v>
      </c>
      <c r="F24" s="6" t="s">
        <v>90</v>
      </c>
    </row>
    <row r="25" spans="1:6" x14ac:dyDescent="0.35">
      <c r="A25" s="23" t="s">
        <v>91</v>
      </c>
      <c r="B25" s="24"/>
      <c r="C25" s="24"/>
      <c r="D25" s="24"/>
      <c r="E25" s="11">
        <f>SUM(E5:E24)</f>
        <v>140.39000000000001</v>
      </c>
      <c r="F25" s="12" t="s">
        <v>92</v>
      </c>
    </row>
    <row r="26" spans="1:6" x14ac:dyDescent="0.35">
      <c r="A26" s="25" t="s">
        <v>93</v>
      </c>
      <c r="B26" s="26"/>
      <c r="C26" s="26"/>
      <c r="D26" s="26"/>
      <c r="E26" s="27">
        <f>E25*4000</f>
        <v>561560.00000000012</v>
      </c>
      <c r="F26" s="15" t="s">
        <v>94</v>
      </c>
    </row>
  </sheetData>
  <mergeCells count="8">
    <mergeCell ref="A1:F1"/>
    <mergeCell ref="A5:F5"/>
    <mergeCell ref="A22:F22"/>
    <mergeCell ref="A7:F7"/>
    <mergeCell ref="A2:F2"/>
    <mergeCell ref="A16:F16"/>
    <mergeCell ref="A10:F10"/>
    <mergeCell ref="A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workbookViewId="0"/>
  </sheetViews>
  <sheetFormatPr baseColWidth="10" defaultColWidth="8.7265625" defaultRowHeight="14.5" x14ac:dyDescent="0.35"/>
  <cols>
    <col min="1" max="1" width="28" customWidth="1"/>
    <col min="2" max="2" width="34" customWidth="1"/>
    <col min="3" max="3" width="14" customWidth="1"/>
    <col min="4" max="4" width="7" customWidth="1"/>
    <col min="5" max="5" width="12" customWidth="1"/>
    <col min="6" max="6" width="40" customWidth="1"/>
  </cols>
  <sheetData>
    <row r="1" spans="1:6" ht="30" customHeight="1" x14ac:dyDescent="0.35">
      <c r="A1" s="38" t="s">
        <v>95</v>
      </c>
      <c r="B1" s="37"/>
      <c r="C1" s="37"/>
      <c r="D1" s="37"/>
      <c r="E1" s="37"/>
      <c r="F1" s="37"/>
    </row>
    <row r="2" spans="1:6" ht="18" customHeight="1" x14ac:dyDescent="0.35">
      <c r="A2" s="36" t="s">
        <v>96</v>
      </c>
      <c r="B2" s="37"/>
      <c r="C2" s="37"/>
      <c r="D2" s="37"/>
      <c r="E2" s="37"/>
      <c r="F2" s="37"/>
    </row>
    <row r="4" spans="1:6" ht="22" customHeight="1" x14ac:dyDescent="0.3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</row>
    <row r="5" spans="1:6" x14ac:dyDescent="0.35">
      <c r="A5" s="34" t="s">
        <v>7</v>
      </c>
      <c r="B5" s="35"/>
      <c r="C5" s="35"/>
      <c r="D5" s="35"/>
      <c r="E5" s="35"/>
      <c r="F5" s="35"/>
    </row>
    <row r="6" spans="1:6" ht="24" x14ac:dyDescent="0.35">
      <c r="A6" s="4" t="s">
        <v>97</v>
      </c>
      <c r="B6" s="21" t="s">
        <v>98</v>
      </c>
      <c r="C6" s="5">
        <v>17.989999999999998</v>
      </c>
      <c r="D6" s="22">
        <v>1</v>
      </c>
      <c r="E6" s="5">
        <v>17.989999999999998</v>
      </c>
      <c r="F6" s="6" t="s">
        <v>99</v>
      </c>
    </row>
    <row r="7" spans="1:6" x14ac:dyDescent="0.35">
      <c r="A7" s="34" t="s">
        <v>100</v>
      </c>
      <c r="B7" s="35"/>
      <c r="C7" s="35"/>
      <c r="D7" s="35"/>
      <c r="E7" s="35"/>
      <c r="F7" s="35"/>
    </row>
    <row r="8" spans="1:6" x14ac:dyDescent="0.35">
      <c r="A8" s="4" t="s">
        <v>101</v>
      </c>
      <c r="B8" s="21" t="s">
        <v>102</v>
      </c>
      <c r="C8" s="5">
        <v>0</v>
      </c>
      <c r="D8" s="22">
        <v>1</v>
      </c>
      <c r="E8" s="5">
        <v>0</v>
      </c>
      <c r="F8" s="6" t="s">
        <v>103</v>
      </c>
    </row>
    <row r="9" spans="1:6" x14ac:dyDescent="0.35">
      <c r="A9" s="4" t="s">
        <v>104</v>
      </c>
      <c r="B9" s="21" t="s">
        <v>105</v>
      </c>
      <c r="C9" s="5">
        <v>1.2</v>
      </c>
      <c r="D9" s="22">
        <v>1</v>
      </c>
      <c r="E9" s="5">
        <v>1.2</v>
      </c>
      <c r="F9" s="6" t="s">
        <v>106</v>
      </c>
    </row>
    <row r="10" spans="1:6" x14ac:dyDescent="0.35">
      <c r="A10" s="34" t="s">
        <v>107</v>
      </c>
      <c r="B10" s="35"/>
      <c r="C10" s="35"/>
      <c r="D10" s="35"/>
      <c r="E10" s="35"/>
      <c r="F10" s="35"/>
    </row>
    <row r="11" spans="1:6" x14ac:dyDescent="0.35">
      <c r="A11" s="4" t="s">
        <v>108</v>
      </c>
      <c r="B11" s="21" t="s">
        <v>109</v>
      </c>
      <c r="C11" s="5">
        <v>0</v>
      </c>
      <c r="D11" s="22">
        <v>1</v>
      </c>
      <c r="E11" s="5">
        <v>0</v>
      </c>
      <c r="F11" s="6" t="s">
        <v>110</v>
      </c>
    </row>
    <row r="12" spans="1:6" x14ac:dyDescent="0.35">
      <c r="A12" s="4" t="s">
        <v>111</v>
      </c>
      <c r="B12" s="21" t="s">
        <v>112</v>
      </c>
      <c r="C12" s="5">
        <v>0</v>
      </c>
      <c r="D12" s="22">
        <v>1</v>
      </c>
      <c r="E12" s="5">
        <v>0</v>
      </c>
      <c r="F12" s="6" t="s">
        <v>113</v>
      </c>
    </row>
    <row r="13" spans="1:6" x14ac:dyDescent="0.35">
      <c r="A13" s="34" t="s">
        <v>64</v>
      </c>
      <c r="B13" s="35"/>
      <c r="C13" s="35"/>
      <c r="D13" s="35"/>
      <c r="E13" s="35"/>
      <c r="F13" s="35"/>
    </row>
    <row r="14" spans="1:6" x14ac:dyDescent="0.35">
      <c r="A14" s="4" t="s">
        <v>114</v>
      </c>
      <c r="B14" s="21" t="s">
        <v>66</v>
      </c>
      <c r="C14" s="5">
        <v>12</v>
      </c>
      <c r="D14" s="22">
        <v>8.3299999999999999E-2</v>
      </c>
      <c r="E14" s="5">
        <v>1</v>
      </c>
      <c r="F14" s="6" t="s">
        <v>115</v>
      </c>
    </row>
    <row r="15" spans="1:6" x14ac:dyDescent="0.35">
      <c r="A15" s="34" t="s">
        <v>68</v>
      </c>
      <c r="B15" s="35"/>
      <c r="C15" s="35"/>
      <c r="D15" s="35"/>
      <c r="E15" s="35"/>
      <c r="F15" s="35"/>
    </row>
    <row r="16" spans="1:6" x14ac:dyDescent="0.35">
      <c r="A16" s="4" t="s">
        <v>69</v>
      </c>
      <c r="B16" s="21" t="s">
        <v>70</v>
      </c>
      <c r="C16" s="5">
        <v>0</v>
      </c>
      <c r="D16" s="22">
        <v>1</v>
      </c>
      <c r="E16" s="5">
        <v>0</v>
      </c>
      <c r="F16" s="6" t="s">
        <v>116</v>
      </c>
    </row>
    <row r="17" spans="1:6" x14ac:dyDescent="0.35">
      <c r="A17" s="4" t="s">
        <v>72</v>
      </c>
      <c r="B17" s="21" t="s">
        <v>73</v>
      </c>
      <c r="C17" s="5">
        <v>49</v>
      </c>
      <c r="D17" s="22">
        <v>1</v>
      </c>
      <c r="E17" s="5">
        <v>49</v>
      </c>
      <c r="F17" s="6" t="s">
        <v>117</v>
      </c>
    </row>
    <row r="18" spans="1:6" x14ac:dyDescent="0.35">
      <c r="A18" s="4" t="s">
        <v>75</v>
      </c>
      <c r="B18" s="21" t="s">
        <v>118</v>
      </c>
      <c r="C18" s="5">
        <v>12</v>
      </c>
      <c r="D18" s="22">
        <v>1</v>
      </c>
      <c r="E18" s="5">
        <v>12</v>
      </c>
      <c r="F18" s="6" t="s">
        <v>119</v>
      </c>
    </row>
    <row r="19" spans="1:6" x14ac:dyDescent="0.35">
      <c r="A19" s="4" t="s">
        <v>78</v>
      </c>
      <c r="B19" s="21" t="s">
        <v>120</v>
      </c>
      <c r="C19" s="5">
        <v>3</v>
      </c>
      <c r="D19" s="22">
        <v>1</v>
      </c>
      <c r="E19" s="5">
        <v>3</v>
      </c>
      <c r="F19" s="6" t="s">
        <v>121</v>
      </c>
    </row>
    <row r="20" spans="1:6" x14ac:dyDescent="0.35">
      <c r="A20" s="4" t="s">
        <v>81</v>
      </c>
      <c r="B20" s="21" t="s">
        <v>82</v>
      </c>
      <c r="C20" s="5">
        <v>0</v>
      </c>
      <c r="D20" s="22">
        <v>1</v>
      </c>
      <c r="E20" s="5">
        <v>0</v>
      </c>
      <c r="F20" s="6" t="s">
        <v>83</v>
      </c>
    </row>
    <row r="21" spans="1:6" x14ac:dyDescent="0.35">
      <c r="A21" s="34" t="s">
        <v>84</v>
      </c>
      <c r="B21" s="35"/>
      <c r="C21" s="35"/>
      <c r="D21" s="35"/>
      <c r="E21" s="35"/>
      <c r="F21" s="35"/>
    </row>
    <row r="22" spans="1:6" x14ac:dyDescent="0.35">
      <c r="A22" s="4" t="s">
        <v>85</v>
      </c>
      <c r="B22" s="21" t="s">
        <v>122</v>
      </c>
      <c r="C22" s="5">
        <v>0</v>
      </c>
      <c r="D22" s="22">
        <v>1</v>
      </c>
      <c r="E22" s="5">
        <v>0</v>
      </c>
      <c r="F22" s="6" t="s">
        <v>123</v>
      </c>
    </row>
    <row r="23" spans="1:6" x14ac:dyDescent="0.35">
      <c r="A23" s="23" t="s">
        <v>91</v>
      </c>
      <c r="B23" s="24"/>
      <c r="C23" s="24"/>
      <c r="D23" s="24"/>
      <c r="E23" s="11">
        <f>SUM(E5:E22)</f>
        <v>84.19</v>
      </c>
      <c r="F23" s="12" t="s">
        <v>124</v>
      </c>
    </row>
    <row r="24" spans="1:6" x14ac:dyDescent="0.35">
      <c r="A24" s="25" t="s">
        <v>93</v>
      </c>
      <c r="B24" s="26"/>
      <c r="C24" s="26"/>
      <c r="D24" s="26"/>
      <c r="E24" s="27">
        <f>E23*4000</f>
        <v>336760</v>
      </c>
      <c r="F24" s="15" t="s">
        <v>94</v>
      </c>
    </row>
  </sheetData>
  <mergeCells count="8">
    <mergeCell ref="A1:F1"/>
    <mergeCell ref="A5:F5"/>
    <mergeCell ref="A21:F21"/>
    <mergeCell ref="A15:F15"/>
    <mergeCell ref="A7:F7"/>
    <mergeCell ref="A2:F2"/>
    <mergeCell ref="A10:F10"/>
    <mergeCell ref="A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>
      <selection sqref="A1:F1"/>
    </sheetView>
  </sheetViews>
  <sheetFormatPr baseColWidth="10" defaultColWidth="8.7265625" defaultRowHeight="14.5" x14ac:dyDescent="0.35"/>
  <cols>
    <col min="1" max="1" width="28" customWidth="1"/>
    <col min="2" max="2" width="34" customWidth="1"/>
    <col min="3" max="3" width="14" customWidth="1"/>
    <col min="4" max="4" width="7" customWidth="1"/>
    <col min="5" max="5" width="12" customWidth="1"/>
    <col min="6" max="6" width="40" customWidth="1"/>
  </cols>
  <sheetData>
    <row r="1" spans="1:6" ht="30" customHeight="1" x14ac:dyDescent="0.35">
      <c r="A1" s="38" t="s">
        <v>125</v>
      </c>
      <c r="B1" s="37"/>
      <c r="C1" s="37"/>
      <c r="D1" s="37"/>
      <c r="E1" s="37"/>
      <c r="F1" s="37"/>
    </row>
    <row r="2" spans="1:6" ht="18" customHeight="1" x14ac:dyDescent="0.35">
      <c r="A2" s="36" t="s">
        <v>126</v>
      </c>
      <c r="B2" s="37"/>
      <c r="C2" s="37"/>
      <c r="D2" s="37"/>
      <c r="E2" s="37"/>
      <c r="F2" s="37"/>
    </row>
    <row r="4" spans="1:6" ht="22" customHeight="1" x14ac:dyDescent="0.3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</row>
    <row r="5" spans="1:6" x14ac:dyDescent="0.35">
      <c r="A5" s="34" t="s">
        <v>127</v>
      </c>
      <c r="B5" s="35"/>
      <c r="C5" s="35"/>
      <c r="D5" s="35"/>
      <c r="E5" s="35"/>
      <c r="F5" s="35"/>
    </row>
    <row r="6" spans="1:6" ht="24" x14ac:dyDescent="0.35">
      <c r="A6" s="4" t="s">
        <v>128</v>
      </c>
      <c r="B6" s="21" t="s">
        <v>129</v>
      </c>
      <c r="C6" s="5">
        <v>0.04</v>
      </c>
      <c r="D6" s="22">
        <v>730</v>
      </c>
      <c r="E6" s="5">
        <v>29.2</v>
      </c>
      <c r="F6" s="6" t="s">
        <v>130</v>
      </c>
    </row>
    <row r="7" spans="1:6" ht="24" x14ac:dyDescent="0.35">
      <c r="A7" s="4" t="s">
        <v>131</v>
      </c>
      <c r="B7" s="21" t="s">
        <v>132</v>
      </c>
      <c r="C7" s="5">
        <v>4.1599999999999998E-2</v>
      </c>
      <c r="D7" s="22">
        <v>730</v>
      </c>
      <c r="E7" s="5">
        <v>30.37</v>
      </c>
      <c r="F7" s="6" t="s">
        <v>133</v>
      </c>
    </row>
    <row r="8" spans="1:6" x14ac:dyDescent="0.35">
      <c r="A8" s="34" t="s">
        <v>134</v>
      </c>
      <c r="B8" s="35"/>
      <c r="C8" s="35"/>
      <c r="D8" s="35"/>
      <c r="E8" s="35"/>
      <c r="F8" s="35"/>
    </row>
    <row r="9" spans="1:6" x14ac:dyDescent="0.35">
      <c r="A9" s="4" t="s">
        <v>135</v>
      </c>
      <c r="B9" s="21" t="s">
        <v>136</v>
      </c>
      <c r="C9" s="5">
        <v>1.7999999999999999E-2</v>
      </c>
      <c r="D9" s="22">
        <v>730</v>
      </c>
      <c r="E9" s="5">
        <v>13.14</v>
      </c>
      <c r="F9" s="6" t="s">
        <v>137</v>
      </c>
    </row>
    <row r="10" spans="1:6" x14ac:dyDescent="0.35">
      <c r="A10" s="4" t="s">
        <v>138</v>
      </c>
      <c r="B10" s="21" t="s">
        <v>139</v>
      </c>
      <c r="C10" s="5">
        <v>0.115</v>
      </c>
      <c r="D10" s="22">
        <v>20</v>
      </c>
      <c r="E10" s="5">
        <v>2.2999999999999998</v>
      </c>
      <c r="F10" s="6" t="s">
        <v>140</v>
      </c>
    </row>
    <row r="11" spans="1:6" x14ac:dyDescent="0.35">
      <c r="A11" s="4" t="s">
        <v>141</v>
      </c>
      <c r="B11" s="21" t="s">
        <v>142</v>
      </c>
      <c r="C11" s="5">
        <v>1.7000000000000001E-2</v>
      </c>
      <c r="D11" s="22">
        <v>730</v>
      </c>
      <c r="E11" s="5">
        <v>12.41</v>
      </c>
      <c r="F11" s="6" t="s">
        <v>143</v>
      </c>
    </row>
    <row r="12" spans="1:6" x14ac:dyDescent="0.35">
      <c r="A12" s="34" t="s">
        <v>144</v>
      </c>
      <c r="B12" s="35"/>
      <c r="C12" s="35"/>
      <c r="D12" s="35"/>
      <c r="E12" s="35"/>
      <c r="F12" s="35"/>
    </row>
    <row r="13" spans="1:6" x14ac:dyDescent="0.35">
      <c r="A13" s="4" t="s">
        <v>145</v>
      </c>
      <c r="B13" s="21" t="s">
        <v>146</v>
      </c>
      <c r="C13" s="5">
        <v>16</v>
      </c>
      <c r="D13" s="22">
        <v>1</v>
      </c>
      <c r="E13" s="5">
        <v>22</v>
      </c>
      <c r="F13" s="6" t="s">
        <v>147</v>
      </c>
    </row>
    <row r="14" spans="1:6" x14ac:dyDescent="0.35">
      <c r="A14" s="4" t="s">
        <v>148</v>
      </c>
      <c r="B14" s="21" t="s">
        <v>149</v>
      </c>
      <c r="C14" s="5">
        <v>32</v>
      </c>
      <c r="D14" s="22">
        <v>1</v>
      </c>
      <c r="E14" s="5">
        <v>32</v>
      </c>
      <c r="F14" s="6" t="s">
        <v>150</v>
      </c>
    </row>
    <row r="15" spans="1:6" x14ac:dyDescent="0.35">
      <c r="A15" s="4" t="s">
        <v>61</v>
      </c>
      <c r="B15" s="21" t="s">
        <v>15</v>
      </c>
      <c r="C15" s="5">
        <v>1</v>
      </c>
      <c r="D15" s="22">
        <v>1</v>
      </c>
      <c r="E15" s="5">
        <v>1</v>
      </c>
      <c r="F15" s="6" t="s">
        <v>151</v>
      </c>
    </row>
    <row r="16" spans="1:6" x14ac:dyDescent="0.35">
      <c r="A16" s="4" t="s">
        <v>152</v>
      </c>
      <c r="B16" s="21" t="s">
        <v>153</v>
      </c>
      <c r="C16" s="5">
        <v>0.09</v>
      </c>
      <c r="D16" s="22">
        <v>80</v>
      </c>
      <c r="E16" s="5">
        <v>7.2</v>
      </c>
      <c r="F16" s="6" t="s">
        <v>154</v>
      </c>
    </row>
    <row r="17" spans="1:6" x14ac:dyDescent="0.35">
      <c r="A17" s="34" t="s">
        <v>155</v>
      </c>
      <c r="B17" s="35"/>
      <c r="C17" s="35"/>
      <c r="D17" s="35"/>
      <c r="E17" s="35"/>
      <c r="F17" s="35"/>
    </row>
    <row r="18" spans="1:6" x14ac:dyDescent="0.35">
      <c r="A18" s="4" t="s">
        <v>156</v>
      </c>
      <c r="B18" s="21" t="s">
        <v>157</v>
      </c>
      <c r="C18" s="5">
        <v>64</v>
      </c>
      <c r="D18" s="22">
        <v>1</v>
      </c>
      <c r="E18" s="5">
        <v>64</v>
      </c>
      <c r="F18" s="6" t="s">
        <v>158</v>
      </c>
    </row>
    <row r="19" spans="1:6" x14ac:dyDescent="0.35">
      <c r="A19" s="4" t="s">
        <v>159</v>
      </c>
      <c r="B19" s="21" t="s">
        <v>160</v>
      </c>
      <c r="C19" s="5">
        <v>15</v>
      </c>
      <c r="D19" s="22">
        <v>8.3299999999999999E-2</v>
      </c>
      <c r="E19" s="5">
        <v>1.25</v>
      </c>
      <c r="F19" s="6" t="s">
        <v>161</v>
      </c>
    </row>
    <row r="20" spans="1:6" x14ac:dyDescent="0.35">
      <c r="A20" s="23" t="s">
        <v>91</v>
      </c>
      <c r="B20" s="24"/>
      <c r="C20" s="24"/>
      <c r="D20" s="24"/>
      <c r="E20" s="11">
        <f>SUM(E5:E19)</f>
        <v>214.87</v>
      </c>
      <c r="F20" s="12" t="s">
        <v>162</v>
      </c>
    </row>
    <row r="21" spans="1:6" x14ac:dyDescent="0.35">
      <c r="A21" s="25" t="s">
        <v>93</v>
      </c>
      <c r="B21" s="26"/>
      <c r="C21" s="26"/>
      <c r="D21" s="26"/>
      <c r="E21" s="27">
        <f>E20*4000</f>
        <v>859480</v>
      </c>
      <c r="F21" s="15" t="s">
        <v>94</v>
      </c>
    </row>
  </sheetData>
  <mergeCells count="6">
    <mergeCell ref="A2:F2"/>
    <mergeCell ref="A1:F1"/>
    <mergeCell ref="A5:F5"/>
    <mergeCell ref="A8:F8"/>
    <mergeCell ref="A17:F17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showGridLines="0" topLeftCell="A7" workbookViewId="0">
      <selection sqref="A1:B1"/>
    </sheetView>
  </sheetViews>
  <sheetFormatPr baseColWidth="10" defaultColWidth="8.7265625" defaultRowHeight="14.5" x14ac:dyDescent="0.35"/>
  <cols>
    <col min="1" max="1" width="34" customWidth="1"/>
    <col min="2" max="2" width="95" customWidth="1"/>
  </cols>
  <sheetData>
    <row r="1" spans="1:2" ht="30" customHeight="1" x14ac:dyDescent="0.35">
      <c r="A1" s="38" t="s">
        <v>163</v>
      </c>
      <c r="B1" s="37"/>
    </row>
    <row r="2" spans="1:2" ht="18" customHeight="1" x14ac:dyDescent="0.35">
      <c r="A2" s="36" t="s">
        <v>164</v>
      </c>
      <c r="B2" s="37"/>
    </row>
    <row r="4" spans="1:2" ht="46" customHeight="1" x14ac:dyDescent="0.35">
      <c r="A4" s="28" t="s">
        <v>165</v>
      </c>
      <c r="B4" s="20" t="s">
        <v>166</v>
      </c>
    </row>
    <row r="5" spans="1:2" ht="46" customHeight="1" x14ac:dyDescent="0.35">
      <c r="A5" s="28" t="s">
        <v>167</v>
      </c>
      <c r="B5" s="20" t="s">
        <v>168</v>
      </c>
    </row>
    <row r="6" spans="1:2" ht="46" customHeight="1" x14ac:dyDescent="0.35">
      <c r="A6" s="28" t="s">
        <v>169</v>
      </c>
      <c r="B6" s="20" t="s">
        <v>170</v>
      </c>
    </row>
    <row r="7" spans="1:2" ht="46" customHeight="1" x14ac:dyDescent="0.35">
      <c r="A7" s="28" t="s">
        <v>171</v>
      </c>
      <c r="B7" s="20" t="s">
        <v>172</v>
      </c>
    </row>
    <row r="8" spans="1:2" ht="46" customHeight="1" x14ac:dyDescent="0.35">
      <c r="A8" s="28" t="s">
        <v>173</v>
      </c>
      <c r="B8" s="20" t="s">
        <v>174</v>
      </c>
    </row>
    <row r="9" spans="1:2" ht="46" customHeight="1" x14ac:dyDescent="0.35">
      <c r="A9" s="28" t="s">
        <v>175</v>
      </c>
      <c r="B9" s="20" t="s">
        <v>176</v>
      </c>
    </row>
    <row r="10" spans="1:2" ht="46" customHeight="1" x14ac:dyDescent="0.35">
      <c r="A10" s="28" t="s">
        <v>177</v>
      </c>
      <c r="B10" s="20" t="s">
        <v>178</v>
      </c>
    </row>
    <row r="11" spans="1:2" ht="46" customHeight="1" x14ac:dyDescent="0.35">
      <c r="A11" s="28" t="s">
        <v>179</v>
      </c>
      <c r="B11" s="20" t="s">
        <v>180</v>
      </c>
    </row>
    <row r="12" spans="1:2" ht="46" customHeight="1" x14ac:dyDescent="0.35">
      <c r="A12" s="28" t="s">
        <v>181</v>
      </c>
      <c r="B12" s="20" t="s">
        <v>182</v>
      </c>
    </row>
    <row r="13" spans="1:2" ht="46" customHeight="1" x14ac:dyDescent="0.35">
      <c r="A13" s="28" t="s">
        <v>183</v>
      </c>
      <c r="B13" s="20" t="s">
        <v>184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AWS EC2 unico</vt:lpstr>
      <vt:lpstr>Hostinger VPS</vt:lpstr>
      <vt:lpstr>AWS Escalado</vt:lpstr>
      <vt:lpstr>Supuestos y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Andrés Millan Mahecha</cp:lastModifiedBy>
  <dcterms:created xsi:type="dcterms:W3CDTF">2026-06-23T15:08:05Z</dcterms:created>
  <dcterms:modified xsi:type="dcterms:W3CDTF">2026-06-23T17:38:06Z</dcterms:modified>
</cp:coreProperties>
</file>